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\OneDrive\Área de Trabalho\EXCEL\"/>
    </mc:Choice>
  </mc:AlternateContent>
  <xr:revisionPtr revIDLastSave="0" documentId="13_ncr:1_{F82BB21C-D698-4445-A8DF-DEA2873FF0EF}" xr6:coauthVersionLast="47" xr6:coauthVersionMax="47" xr10:uidLastSave="{00000000-0000-0000-0000-000000000000}"/>
  <bookViews>
    <workbookView xWindow="14316" yWindow="60" windowWidth="8724" windowHeight="12060" xr2:uid="{2ACD01DF-77D1-43CF-8AB7-0EE5CC74DE69}"/>
  </bookViews>
  <sheets>
    <sheet name="Planilha1" sheetId="1" r:id="rId1"/>
    <sheet name="Planilha2" sheetId="2" r:id="rId2"/>
  </sheets>
  <definedNames>
    <definedName name="aporte">Planilha1!$D$18</definedName>
    <definedName name="qtd_anos">Planilha1!$D$19</definedName>
    <definedName name="rendimento_carteira">Planilha1!$D$14</definedName>
    <definedName name="salario">Planilha1!$D$13</definedName>
    <definedName name="sugestao_investimento">Planilha1!$D$15</definedName>
    <definedName name="taxa_mensal">Planilha1!$D$20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1" l="1"/>
  <c r="D38" i="1" s="1"/>
  <c r="C39" i="1"/>
  <c r="D39" i="1" s="1"/>
  <c r="C40" i="1"/>
  <c r="D40" i="1" s="1"/>
  <c r="C41" i="1"/>
  <c r="D41" i="1" s="1"/>
  <c r="C42" i="1"/>
  <c r="D42" i="1" s="1"/>
  <c r="C37" i="1"/>
  <c r="D37" i="1" s="1"/>
  <c r="H5" i="2"/>
  <c r="G5" i="2"/>
  <c r="B16" i="2"/>
  <c r="B17" i="2"/>
  <c r="B18" i="2"/>
  <c r="B19" i="2"/>
  <c r="B20" i="2"/>
  <c r="B21" i="2"/>
  <c r="B10" i="2"/>
  <c r="B11" i="2"/>
  <c r="B12" i="2"/>
  <c r="B13" i="2"/>
  <c r="B14" i="2"/>
  <c r="B15" i="2"/>
  <c r="B5" i="2"/>
  <c r="B6" i="2"/>
  <c r="B7" i="2"/>
  <c r="B8" i="2"/>
  <c r="B9" i="2"/>
  <c r="B4" i="2"/>
  <c r="D34" i="1"/>
  <c r="D21" i="1"/>
  <c r="D22" i="1" s="1"/>
  <c r="D15" i="1"/>
  <c r="C26" i="1"/>
  <c r="D26" i="1" s="1"/>
  <c r="C27" i="1"/>
  <c r="D27" i="1" s="1"/>
  <c r="C28" i="1"/>
  <c r="D28" i="1" s="1"/>
  <c r="C29" i="1"/>
  <c r="D29" i="1" s="1"/>
  <c r="C25" i="1"/>
  <c r="D25" i="1" s="1"/>
  <c r="D43" i="1" l="1"/>
</calcChain>
</file>

<file path=xl/sharedStrings.xml><?xml version="1.0" encoding="utf-8"?>
<sst xmlns="http://schemas.openxmlformats.org/spreadsheetml/2006/main" count="69" uniqueCount="32">
  <si>
    <t>Quanto investir por mês?</t>
  </si>
  <si>
    <t>Por quantos anos?</t>
  </si>
  <si>
    <t>Taxa de rendimento mensal?</t>
  </si>
  <si>
    <t>Patrimônio acumulado</t>
  </si>
  <si>
    <t>Dividendos mensais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</si>
  <si>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</si>
  <si>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</si>
  <si>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</si>
  <si>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</si>
  <si>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</si>
  <si>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</si>
  <si>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</si>
  <si>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Rendimentos</t>
  </si>
  <si>
    <t>Configurações</t>
  </si>
  <si>
    <t>Salário</t>
  </si>
  <si>
    <t>Rendimento Carteira</t>
  </si>
  <si>
    <t>Sugestão de Investimento</t>
  </si>
  <si>
    <t>Perfil</t>
  </si>
  <si>
    <t>Agressivo</t>
  </si>
  <si>
    <t>Valor a ser investido por mês</t>
  </si>
  <si>
    <t>TIPO DE FIII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</si>
  <si>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</si>
  <si>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</si>
  <si>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</si>
  <si>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</si>
  <si>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</si>
  <si>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</si>
  <si>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</si>
  <si>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</si>
  <si>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Conservador</t>
  </si>
  <si>
    <t>Chave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</si>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</sst>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4" xfId="0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8" fontId="3" fillId="3" borderId="4" xfId="0" applyNumberFormat="1" applyFont="1" applyFill="1" applyBorder="1" applyAlignment="1">
      <alignment horizontal="center" vertical="center"/>
    </xf>
    <xf numFmtId="8" fontId="3" fillId="3" borderId="6" xfId="0" applyNumberFormat="1" applyFont="1" applyFill="1" applyBorder="1" applyAlignment="1">
      <alignment horizontal="center" vertical="center"/>
    </xf>
    <xf numFmtId="0" fontId="4" fillId="0" borderId="0" xfId="0" applyFont="1"/>
    <xf numFmtId="0" fontId="2" fillId="2" borderId="7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9" fontId="0" fillId="0" borderId="0" xfId="0" applyNumberFormat="1"/>
    <xf numFmtId="164" fontId="0" fillId="0" borderId="4" xfId="1" applyNumberFormat="1" applyFont="1" applyBorder="1" applyAlignment="1">
      <alignment horizontal="center" vertical="center"/>
    </xf>
    <xf numFmtId="8" fontId="0" fillId="3" borderId="8" xfId="0" applyNumberFormat="1" applyFill="1" applyBorder="1" applyAlignment="1">
      <alignment horizontal="center" vertical="center"/>
    </xf>
    <xf numFmtId="8" fontId="0" fillId="3" borderId="2" xfId="0" applyNumberFormat="1" applyFill="1" applyBorder="1" applyAlignment="1">
      <alignment horizontal="center" vertical="center"/>
    </xf>
    <xf numFmtId="8" fontId="0" fillId="3" borderId="9" xfId="0" applyNumberFormat="1" applyFill="1" applyBorder="1" applyAlignment="1">
      <alignment horizontal="center" vertical="center"/>
    </xf>
    <xf numFmtId="8" fontId="0" fillId="3" borderId="4" xfId="0" applyNumberFormat="1" applyFill="1" applyBorder="1" applyAlignment="1">
      <alignment horizontal="center" vertical="center"/>
    </xf>
    <xf numFmtId="8" fontId="0" fillId="3" borderId="10" xfId="0" applyNumberFormat="1" applyFill="1" applyBorder="1" applyAlignment="1">
      <alignment horizontal="center" vertical="center"/>
    </xf>
    <xf numFmtId="8" fontId="0" fillId="3" borderId="6" xfId="0" applyNumberFormat="1" applyFill="1" applyBorder="1" applyAlignment="1">
      <alignment horizontal="center" vertical="center"/>
    </xf>
    <xf numFmtId="0" fontId="6" fillId="3" borderId="3" xfId="0" applyFont="1" applyFill="1" applyBorder="1"/>
    <xf numFmtId="0" fontId="6" fillId="3" borderId="5" xfId="0" applyFont="1" applyFill="1" applyBorder="1"/>
    <xf numFmtId="0" fontId="6" fillId="3" borderId="1" xfId="0" applyFont="1" applyFill="1" applyBorder="1"/>
    <xf numFmtId="164" fontId="0" fillId="0" borderId="4" xfId="0" applyNumberFormat="1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3" fillId="5" borderId="0" xfId="0" applyNumberFormat="1" applyFont="1" applyFill="1" applyAlignment="1">
      <alignment horizontal="center" vertical="center"/>
    </xf>
    <xf numFmtId="164" fontId="0" fillId="3" borderId="0" xfId="0" applyNumberFormat="1" applyFill="1" applyAlignment="1">
      <alignment horizontal="center"/>
    </xf>
    <xf numFmtId="0" fontId="3" fillId="5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9" fontId="0" fillId="0" borderId="0" xfId="0" applyNumberFormat="1" applyBorder="1"/>
    <xf numFmtId="0" fontId="0" fillId="0" borderId="11" xfId="0" applyBorder="1"/>
    <xf numFmtId="0" fontId="0" fillId="0" borderId="11" xfId="0" applyBorder="1" applyAlignment="1">
      <alignment horizontal="center" vertical="center"/>
    </xf>
    <xf numFmtId="9" fontId="0" fillId="0" borderId="11" xfId="0" applyNumberFormat="1" applyBorder="1"/>
    <xf numFmtId="0" fontId="0" fillId="0" borderId="12" xfId="0" applyBorder="1"/>
    <xf numFmtId="0" fontId="0" fillId="0" borderId="12" xfId="0" applyBorder="1" applyAlignment="1">
      <alignment horizontal="center" vertical="center"/>
    </xf>
    <xf numFmtId="9" fontId="0" fillId="0" borderId="12" xfId="0" applyNumberFormat="1" applyBorder="1"/>
    <xf numFmtId="0" fontId="0" fillId="6" borderId="0" xfId="0" applyFill="1"/>
    <xf numFmtId="9" fontId="0" fillId="6" borderId="0" xfId="0" applyNumberFormat="1" applyFill="1"/>
    <xf numFmtId="0" fontId="7" fillId="0" borderId="0" xfId="0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343703</xdr:colOff>
      <xdr:row>0</xdr:row>
      <xdr:rowOff>104274</xdr:rowOff>
    </xdr:from>
    <xdr:to>
      <xdr:col>4</xdr:col>
      <xdr:colOff>299587</xdr:colOff>
      <xdr:row>8</xdr:row>
      <xdr:rowOff>56949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39B40AC-C48B-4CD8-990D-FC22565183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3878"/>
        <a:stretch>
          <a:fillRect/>
        </a:stretch>
      </xdr:blipFill>
      <xdr:spPr>
        <a:xfrm>
          <a:off x="343703" y="104274"/>
          <a:ext cx="4696326" cy="14285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0401C-A23F-4A6C-87CB-F3CFF55B2FED}">
  <dimension ref="A11:F44"/>
  <sheetViews>
    <sheetView showGridLines="0" tabSelected="1" topLeftCell="A32" zoomScale="95" zoomScaleNormal="95" workbookViewId="0">
      <selection activeCell="C44" sqref="C44"/>
    </sheetView>
  </sheetViews>
  <sheetFormatPr defaultColWidth="0" defaultRowHeight="14.4" x14ac:dyDescent="0.3"/>
  <cols>
    <col min="1" max="1" width="8.88671875" customWidth="1"/>
    <col min="2" max="2" width="24" bestFit="1" customWidth="1"/>
    <col min="3" max="3" width="19" customWidth="1"/>
    <col min="4" max="4" width="17.33203125" customWidth="1"/>
    <col min="5" max="5" width="21.5546875" bestFit="1" customWidth="1"/>
    <col min="6" max="6" width="10.5546875" hidden="1" customWidth="1"/>
    <col min="7" max="7" width="8.88671875" hidden="1" customWidth="1"/>
    <col min="8" max="16384" width="8.88671875" hidden="1"/>
  </cols>
  <sheetData>
    <row r="11" spans="2:4" ht="15" thickBot="1" x14ac:dyDescent="0.35"/>
    <row r="12" spans="2:4" x14ac:dyDescent="0.3">
      <c r="B12" s="36" t="s">
        <v>13</v>
      </c>
      <c r="C12" s="37"/>
      <c r="D12" s="38"/>
    </row>
    <row r="13" spans="2:4" ht="15.6" x14ac:dyDescent="0.3">
      <c r="B13" s="39" t="s">
        <v>14</v>
      </c>
      <c r="C13" s="40"/>
      <c r="D13" s="19">
        <v>5000</v>
      </c>
    </row>
    <row r="14" spans="2:4" ht="15.6" x14ac:dyDescent="0.3">
      <c r="B14" s="39" t="s">
        <v>15</v>
      </c>
      <c r="C14" s="40"/>
      <c r="D14" s="20">
        <v>0.01</v>
      </c>
    </row>
    <row r="15" spans="2:4" ht="16.2" thickBot="1" x14ac:dyDescent="0.35">
      <c r="B15" s="45" t="s">
        <v>16</v>
      </c>
      <c r="C15" s="46"/>
      <c r="D15" s="21">
        <f>D13*30%</f>
        <v>1500</v>
      </c>
    </row>
    <row r="16" spans="2:4" ht="15" thickBot="1" x14ac:dyDescent="0.35"/>
    <row r="17" spans="1:4" x14ac:dyDescent="0.3">
      <c r="B17" s="33" t="s">
        <v>5</v>
      </c>
      <c r="C17" s="34"/>
      <c r="D17" s="35"/>
    </row>
    <row r="18" spans="1:4" ht="15.6" x14ac:dyDescent="0.3">
      <c r="B18" s="39" t="s">
        <v>0</v>
      </c>
      <c r="C18" s="40"/>
      <c r="D18" s="9">
        <v>500</v>
      </c>
    </row>
    <row r="19" spans="1:4" ht="15.6" x14ac:dyDescent="0.3">
      <c r="B19" s="39" t="s">
        <v>1</v>
      </c>
      <c r="C19" s="40"/>
      <c r="D19" s="1">
        <v>5</v>
      </c>
    </row>
    <row r="20" spans="1:4" ht="15.6" x14ac:dyDescent="0.3">
      <c r="B20" s="39" t="s">
        <v>2</v>
      </c>
      <c r="C20" s="40"/>
      <c r="D20" s="2">
        <v>1.0789999999999999E-2</v>
      </c>
    </row>
    <row r="21" spans="1:4" ht="15.6" x14ac:dyDescent="0.3">
      <c r="B21" s="43" t="s">
        <v>3</v>
      </c>
      <c r="C21" s="44"/>
      <c r="D21" s="3">
        <f>FV(taxa_mensal,qtd_anos*12,(-1)*aporte)</f>
        <v>41888.456999243819</v>
      </c>
    </row>
    <row r="22" spans="1:4" ht="16.2" thickBot="1" x14ac:dyDescent="0.35">
      <c r="B22" s="41" t="s">
        <v>4</v>
      </c>
      <c r="C22" s="42"/>
      <c r="D22" s="4">
        <f>D21*rendimento_carteira</f>
        <v>418.88456999243817</v>
      </c>
    </row>
    <row r="23" spans="1:4" ht="15" thickBot="1" x14ac:dyDescent="0.35"/>
    <row r="24" spans="1:4" ht="15" thickBot="1" x14ac:dyDescent="0.35">
      <c r="B24" s="32" t="s">
        <v>11</v>
      </c>
      <c r="C24" s="32"/>
      <c r="D24" s="6" t="s">
        <v>12</v>
      </c>
    </row>
    <row r="25" spans="1:4" ht="15.6" x14ac:dyDescent="0.3">
      <c r="A25" s="5">
        <v>2</v>
      </c>
      <c r="B25" s="18" t="s">
        <v>6</v>
      </c>
      <c r="C25" s="10">
        <f>FV($D$20,A25*12,$D$18*(-1))</f>
        <v>13613.813648822608</v>
      </c>
      <c r="D25" s="11">
        <f>C25*rendimento_carteira</f>
        <v>136.13813648822608</v>
      </c>
    </row>
    <row r="26" spans="1:4" ht="15.6" x14ac:dyDescent="0.3">
      <c r="A26" s="5">
        <v>5</v>
      </c>
      <c r="B26" s="16" t="s">
        <v>7</v>
      </c>
      <c r="C26" s="12">
        <f>FV($D$20,A26*12,$D$18*(-1))</f>
        <v>41888.456999243819</v>
      </c>
      <c r="D26" s="13">
        <f>C26*rendimento_carteira</f>
        <v>418.88456999243817</v>
      </c>
    </row>
    <row r="27" spans="1:4" ht="15.6" x14ac:dyDescent="0.3">
      <c r="A27" s="5">
        <v>10</v>
      </c>
      <c r="B27" s="16" t="s">
        <v>8</v>
      </c>
      <c r="C27" s="12">
        <f>FV($D$20,A27*12,$D$18*(-1))</f>
        <v>121642.1062650861</v>
      </c>
      <c r="D27" s="13">
        <f>C27*rendimento_carteira</f>
        <v>1216.4210626508609</v>
      </c>
    </row>
    <row r="28" spans="1:4" ht="15.6" x14ac:dyDescent="0.3">
      <c r="A28" s="5">
        <v>20</v>
      </c>
      <c r="B28" s="16" t="s">
        <v>9</v>
      </c>
      <c r="C28" s="12">
        <f>FV($D$20,A28*12,$D$18*(-1))</f>
        <v>562599.20004854025</v>
      </c>
      <c r="D28" s="13">
        <f>C28*rendimento_carteira</f>
        <v>5625.992000485403</v>
      </c>
    </row>
    <row r="29" spans="1:4" ht="16.2" thickBot="1" x14ac:dyDescent="0.35">
      <c r="A29" s="5">
        <v>30</v>
      </c>
      <c r="B29" s="17" t="s">
        <v>10</v>
      </c>
      <c r="C29" s="14">
        <f>FV($D$20,A29*12,$D$18*(-1))</f>
        <v>2161084.8275023573</v>
      </c>
      <c r="D29" s="15">
        <f>C29*rendimento_carteira</f>
        <v>21610.848275023574</v>
      </c>
    </row>
    <row r="33" spans="2:4" x14ac:dyDescent="0.3">
      <c r="B33" s="30" t="s">
        <v>17</v>
      </c>
      <c r="C33" s="30"/>
      <c r="D33" s="7" t="s">
        <v>18</v>
      </c>
    </row>
    <row r="34" spans="2:4" x14ac:dyDescent="0.3">
      <c r="B34" s="31" t="s">
        <v>19</v>
      </c>
      <c r="C34" s="31"/>
      <c r="D34" s="28">
        <f>aporte</f>
        <v>500</v>
      </c>
    </row>
    <row r="36" spans="2:4" x14ac:dyDescent="0.3">
      <c r="B36" s="26" t="s">
        <v>20</v>
      </c>
      <c r="C36" s="26" t="s">
        <v>21</v>
      </c>
      <c r="D36" s="26" t="s">
        <v>22</v>
      </c>
    </row>
    <row r="37" spans="2:4" x14ac:dyDescent="0.3">
      <c r="B37" s="22" t="s">
        <v>23</v>
      </c>
      <c r="C37" s="23">
        <f>VLOOKUP($D$33&amp;"-"&amp;B37,Planilha2!B3:E21,4,FALSE)</f>
        <v>0.5</v>
      </c>
      <c r="D37" s="24">
        <f>C37*$D$34</f>
        <v>250</v>
      </c>
    </row>
    <row r="38" spans="2:4" x14ac:dyDescent="0.3">
      <c r="B38" s="22" t="s">
        <v>24</v>
      </c>
      <c r="C38" s="23">
        <f>VLOOKUP($D$33&amp;"-"&amp;B38,Planilha2!B4:E22,4,FALSE)</f>
        <v>0.1</v>
      </c>
      <c r="D38" s="24">
        <f t="shared" ref="D38:D42" si="0">C38*$D$34</f>
        <v>50</v>
      </c>
    </row>
    <row r="39" spans="2:4" x14ac:dyDescent="0.3">
      <c r="B39" s="22" t="s">
        <v>25</v>
      </c>
      <c r="C39" s="23">
        <f>VLOOKUP($D$33&amp;"-"&amp;B39,Planilha2!B5:E23,4,FALSE)</f>
        <v>0.05</v>
      </c>
      <c r="D39" s="24">
        <f t="shared" si="0"/>
        <v>25</v>
      </c>
    </row>
    <row r="40" spans="2:4" x14ac:dyDescent="0.3">
      <c r="B40" s="22" t="s">
        <v>26</v>
      </c>
      <c r="C40" s="23">
        <f>VLOOKUP($D$33&amp;"-"&amp;B40,Planilha2!B6:E24,4,FALSE)</f>
        <v>0.05</v>
      </c>
      <c r="D40" s="24">
        <f t="shared" si="0"/>
        <v>25</v>
      </c>
    </row>
    <row r="41" spans="2:4" x14ac:dyDescent="0.3">
      <c r="B41" s="22" t="s">
        <v>27</v>
      </c>
      <c r="C41" s="23">
        <f>VLOOKUP($D$33&amp;"-"&amp;B41,Planilha2!B7:E25,4,FALSE)</f>
        <v>0.2</v>
      </c>
      <c r="D41" s="24">
        <f t="shared" si="0"/>
        <v>100</v>
      </c>
    </row>
    <row r="42" spans="2:4" x14ac:dyDescent="0.3">
      <c r="B42" s="22" t="s">
        <v>28</v>
      </c>
      <c r="C42" s="23">
        <f>VLOOKUP($D$33&amp;"-"&amp;B42,Planilha2!B8:E26,4,FALSE)</f>
        <v>0.1</v>
      </c>
      <c r="D42" s="24">
        <f t="shared" si="0"/>
        <v>50</v>
      </c>
    </row>
    <row r="43" spans="2:4" x14ac:dyDescent="0.3">
      <c r="B43" s="25"/>
      <c r="C43" s="25"/>
      <c r="D43" s="27">
        <f>SUM(D37:D42)</f>
        <v>500</v>
      </c>
    </row>
    <row r="44" spans="2:4" x14ac:dyDescent="0.3">
      <c r="C44" s="58"/>
    </row>
  </sheetData>
  <mergeCells count="13">
    <mergeCell ref="B33:C33"/>
    <mergeCell ref="B34:C34"/>
    <mergeCell ref="B24:C24"/>
    <mergeCell ref="B17:D17"/>
    <mergeCell ref="B12:D12"/>
    <mergeCell ref="B13:C13"/>
    <mergeCell ref="B22:C22"/>
    <mergeCell ref="B21:C21"/>
    <mergeCell ref="B20:C20"/>
    <mergeCell ref="B19:C19"/>
    <mergeCell ref="B18:C18"/>
    <mergeCell ref="B15:C15"/>
    <mergeCell ref="B14:C14"/>
  </mergeCells>
  <dataValidations count="1">
    <dataValidation type="list" allowBlank="1" showInputMessage="1" showErrorMessage="1" sqref="D33" xr:uid="{EEF04E10-CD4E-4AD3-9358-1223DE03A7FF}">
      <formula1>"Moderado,Agressivo,Conservador"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483B-74B0-45CC-A2CC-FF7E616EBF9C}">
  <dimension ref="B3:H21"/>
  <sheetViews>
    <sheetView topLeftCell="A3" workbookViewId="0">
      <selection activeCell="E12" sqref="E12"/>
    </sheetView>
  </sheetViews>
  <sheetFormatPr defaultRowHeight="14.4" x14ac:dyDescent="0.3"/>
  <cols>
    <col min="2" max="2" width="28.77734375" bestFit="1" customWidth="1"/>
    <col min="3" max="3" width="11.21875" bestFit="1" customWidth="1"/>
    <col min="4" max="4" width="17.6640625" bestFit="1" customWidth="1"/>
    <col min="5" max="5" width="10" bestFit="1" customWidth="1"/>
    <col min="7" max="7" width="15.44140625" bestFit="1" customWidth="1"/>
  </cols>
  <sheetData>
    <row r="3" spans="2:8" ht="43.2" x14ac:dyDescent="0.3">
      <c r="B3" t="s">
        <v>30</v>
      </c>
      <c r="C3" s="26" t="s">
        <v>17</v>
      </c>
      <c r="D3" s="26" t="s">
        <v>20</v>
      </c>
      <c r="E3" s="29" t="s">
        <v>21</v>
      </c>
    </row>
    <row r="4" spans="2:8" x14ac:dyDescent="0.3">
      <c r="B4" t="str">
        <f>C4&amp;"-"&amp;D4</f>
        <v>Conservador-PAPEL</v>
      </c>
      <c r="C4" t="s">
        <v>29</v>
      </c>
      <c r="D4" s="22" t="s">
        <v>23</v>
      </c>
      <c r="E4" s="23">
        <v>0.3</v>
      </c>
    </row>
    <row r="5" spans="2:8" x14ac:dyDescent="0.3">
      <c r="B5" t="str">
        <f t="shared" ref="B5:B9" si="0">C5&amp;"-"&amp;D5</f>
        <v>Conservador-TIJOLO</v>
      </c>
      <c r="C5" t="s">
        <v>29</v>
      </c>
      <c r="D5" s="22" t="s">
        <v>24</v>
      </c>
      <c r="E5" s="23">
        <v>0.5</v>
      </c>
      <c r="G5" s="56" t="str">
        <f>B11</f>
        <v>Moderado-TIJOLO</v>
      </c>
      <c r="H5" s="57">
        <f>VLOOKUP(G5,$B$3:$E$21,4,FALSE)</f>
        <v>0.35</v>
      </c>
    </row>
    <row r="6" spans="2:8" x14ac:dyDescent="0.3">
      <c r="B6" t="str">
        <f t="shared" si="0"/>
        <v>Conservador-HÍBRIDOS</v>
      </c>
      <c r="C6" t="s">
        <v>29</v>
      </c>
      <c r="D6" s="22" t="s">
        <v>25</v>
      </c>
      <c r="E6" s="23">
        <v>0.1</v>
      </c>
    </row>
    <row r="7" spans="2:8" x14ac:dyDescent="0.3">
      <c r="B7" t="str">
        <f t="shared" si="0"/>
        <v>Conservador-FOFs</v>
      </c>
      <c r="C7" t="s">
        <v>29</v>
      </c>
      <c r="D7" s="22" t="s">
        <v>26</v>
      </c>
      <c r="E7" s="23">
        <v>0.1</v>
      </c>
    </row>
    <row r="8" spans="2:8" x14ac:dyDescent="0.3">
      <c r="B8" t="str">
        <f t="shared" si="0"/>
        <v>Conservador-DESENVOLVIMENTO</v>
      </c>
      <c r="C8" t="s">
        <v>29</v>
      </c>
      <c r="D8" s="22" t="s">
        <v>27</v>
      </c>
      <c r="E8" s="23">
        <v>0</v>
      </c>
    </row>
    <row r="9" spans="2:8" x14ac:dyDescent="0.3">
      <c r="B9" t="str">
        <f t="shared" si="0"/>
        <v>Conservador-HOTELARIAS</v>
      </c>
      <c r="C9" t="s">
        <v>29</v>
      </c>
      <c r="D9" s="22" t="s">
        <v>28</v>
      </c>
      <c r="E9" s="23">
        <v>0</v>
      </c>
    </row>
    <row r="10" spans="2:8" x14ac:dyDescent="0.3">
      <c r="B10" s="53" t="str">
        <f t="shared" ref="B10:B21" si="1">C10&amp;"-"&amp;D10</f>
        <v>Moderado-PAPEL</v>
      </c>
      <c r="C10" s="53" t="s">
        <v>31</v>
      </c>
      <c r="D10" s="54" t="s">
        <v>23</v>
      </c>
      <c r="E10" s="55">
        <v>0.32</v>
      </c>
    </row>
    <row r="11" spans="2:8" x14ac:dyDescent="0.3">
      <c r="B11" s="47" t="str">
        <f t="shared" si="1"/>
        <v>Moderado-TIJOLO</v>
      </c>
      <c r="C11" s="47" t="s">
        <v>31</v>
      </c>
      <c r="D11" s="48" t="s">
        <v>24</v>
      </c>
      <c r="E11" s="49">
        <v>0.35</v>
      </c>
    </row>
    <row r="12" spans="2:8" x14ac:dyDescent="0.3">
      <c r="B12" s="47" t="str">
        <f t="shared" si="1"/>
        <v>Moderado-HÍBRIDOS</v>
      </c>
      <c r="C12" s="47" t="s">
        <v>31</v>
      </c>
      <c r="D12" s="48" t="s">
        <v>25</v>
      </c>
      <c r="E12" s="49">
        <v>0.08</v>
      </c>
    </row>
    <row r="13" spans="2:8" x14ac:dyDescent="0.3">
      <c r="B13" s="47" t="str">
        <f t="shared" si="1"/>
        <v>Moderado-FOFs</v>
      </c>
      <c r="C13" s="47" t="s">
        <v>31</v>
      </c>
      <c r="D13" s="48" t="s">
        <v>26</v>
      </c>
      <c r="E13" s="49">
        <v>0.1</v>
      </c>
    </row>
    <row r="14" spans="2:8" x14ac:dyDescent="0.3">
      <c r="B14" s="47" t="str">
        <f t="shared" si="1"/>
        <v>Moderado-DESENVOLVIMENTO</v>
      </c>
      <c r="C14" s="47" t="s">
        <v>31</v>
      </c>
      <c r="D14" s="48" t="s">
        <v>27</v>
      </c>
      <c r="E14" s="49">
        <v>0.1</v>
      </c>
    </row>
    <row r="15" spans="2:8" x14ac:dyDescent="0.3">
      <c r="B15" s="50" t="str">
        <f t="shared" si="1"/>
        <v>Moderado-HOTELARIAS</v>
      </c>
      <c r="C15" s="50" t="s">
        <v>31</v>
      </c>
      <c r="D15" s="51" t="s">
        <v>28</v>
      </c>
      <c r="E15" s="52">
        <v>0.1</v>
      </c>
    </row>
    <row r="16" spans="2:8" x14ac:dyDescent="0.3">
      <c r="B16" t="str">
        <f t="shared" si="1"/>
        <v>Agressivo-PAPEL</v>
      </c>
      <c r="C16" t="s">
        <v>18</v>
      </c>
      <c r="D16" s="22" t="s">
        <v>23</v>
      </c>
      <c r="E16" s="8">
        <v>0.5</v>
      </c>
    </row>
    <row r="17" spans="2:5" x14ac:dyDescent="0.3">
      <c r="B17" t="str">
        <f t="shared" si="1"/>
        <v>Agressivo-TIJOLO</v>
      </c>
      <c r="C17" t="s">
        <v>18</v>
      </c>
      <c r="D17" s="22" t="s">
        <v>24</v>
      </c>
      <c r="E17" s="8">
        <v>0.1</v>
      </c>
    </row>
    <row r="18" spans="2:5" x14ac:dyDescent="0.3">
      <c r="B18" t="str">
        <f t="shared" si="1"/>
        <v>Agressivo-HÍBRIDOS</v>
      </c>
      <c r="C18" t="s">
        <v>18</v>
      </c>
      <c r="D18" s="22" t="s">
        <v>25</v>
      </c>
      <c r="E18" s="8">
        <v>0.05</v>
      </c>
    </row>
    <row r="19" spans="2:5" x14ac:dyDescent="0.3">
      <c r="B19" t="str">
        <f t="shared" si="1"/>
        <v>Agressivo-FOFs</v>
      </c>
      <c r="C19" t="s">
        <v>18</v>
      </c>
      <c r="D19" s="22" t="s">
        <v>26</v>
      </c>
      <c r="E19" s="8">
        <v>0.05</v>
      </c>
    </row>
    <row r="20" spans="2:5" x14ac:dyDescent="0.3">
      <c r="B20" t="str">
        <f t="shared" si="1"/>
        <v>Agressivo-DESENVOLVIMENTO</v>
      </c>
      <c r="C20" t="s">
        <v>18</v>
      </c>
      <c r="D20" s="22" t="s">
        <v>27</v>
      </c>
      <c r="E20" s="8">
        <v>0.2</v>
      </c>
    </row>
    <row r="21" spans="2:5" x14ac:dyDescent="0.3">
      <c r="B21" t="str">
        <f t="shared" si="1"/>
        <v>Agressivo-HOTELARIAS</v>
      </c>
      <c r="C21" t="s">
        <v>18</v>
      </c>
      <c r="D21" s="22" t="s">
        <v>28</v>
      </c>
      <c r="E21" s="8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Planilha1</vt:lpstr>
      <vt:lpstr>Planilha2</vt:lpstr>
      <vt:lpstr>aporte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Vinicius Malheiros</dc:creator>
  <cp:lastModifiedBy>Marcos Vinicius Malheiros</cp:lastModifiedBy>
  <dcterms:created xsi:type="dcterms:W3CDTF">2026-03-15T23:56:56Z</dcterms:created>
  <dcterms:modified xsi:type="dcterms:W3CDTF">2026-03-23T01:08:35Z</dcterms:modified>
</cp:coreProperties>
</file>